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5" i="1" l="1"/>
  <c r="J14" i="1"/>
  <c r="J13" i="1"/>
  <c r="G2" i="1"/>
  <c r="G3" i="1"/>
  <c r="G4" i="1"/>
  <c r="G5" i="1"/>
  <c r="G6" i="1"/>
  <c r="G7" i="1"/>
  <c r="G8" i="1"/>
  <c r="J8" i="1" s="1"/>
  <c r="G9" i="1"/>
  <c r="G10" i="1"/>
  <c r="G11" i="1"/>
  <c r="G12" i="1"/>
  <c r="J12" i="1" s="1"/>
  <c r="F3" i="1"/>
  <c r="F4" i="1"/>
  <c r="F5" i="1"/>
  <c r="F6" i="1"/>
  <c r="F7" i="1"/>
  <c r="F8" i="1"/>
  <c r="F9" i="1"/>
  <c r="F10" i="1"/>
  <c r="F11" i="1"/>
  <c r="F12" i="1"/>
  <c r="F2" i="1"/>
  <c r="I3" i="1"/>
  <c r="I4" i="1"/>
  <c r="I5" i="1"/>
  <c r="I6" i="1"/>
  <c r="I7" i="1"/>
  <c r="I8" i="1"/>
  <c r="I9" i="1"/>
  <c r="I10" i="1"/>
  <c r="I11" i="1"/>
  <c r="I12" i="1"/>
  <c r="I2" i="1"/>
  <c r="H3" i="1"/>
  <c r="H4" i="1"/>
  <c r="H5" i="1"/>
  <c r="H6" i="1"/>
  <c r="H7" i="1"/>
  <c r="H8" i="1"/>
  <c r="H9" i="1"/>
  <c r="H10" i="1"/>
  <c r="H11" i="1"/>
  <c r="H12" i="1"/>
  <c r="H2" i="1"/>
  <c r="D14" i="1"/>
  <c r="E14" i="1"/>
  <c r="D15" i="1"/>
  <c r="E15" i="1"/>
  <c r="F15" i="1"/>
  <c r="C15" i="1"/>
  <c r="C14" i="1"/>
  <c r="D13" i="1"/>
  <c r="E13" i="1"/>
  <c r="C13" i="1"/>
  <c r="F13" i="1"/>
  <c r="G13" i="1" s="1"/>
  <c r="J11" i="1"/>
  <c r="J10" i="1"/>
  <c r="J9" i="1"/>
  <c r="J7" i="1"/>
  <c r="J6" i="1"/>
  <c r="J4" i="1"/>
  <c r="F14" i="1" l="1"/>
  <c r="J5" i="1"/>
  <c r="J3" i="1"/>
  <c r="J2" i="1"/>
  <c r="G14" i="1" l="1"/>
  <c r="G15" i="1"/>
</calcChain>
</file>

<file path=xl/sharedStrings.xml><?xml version="1.0" encoding="utf-8"?>
<sst xmlns="http://schemas.openxmlformats.org/spreadsheetml/2006/main" count="27" uniqueCount="24">
  <si>
    <t>Roll No</t>
  </si>
  <si>
    <t>Name</t>
  </si>
  <si>
    <t>C</t>
  </si>
  <si>
    <t>CPP</t>
  </si>
  <si>
    <t>Java</t>
  </si>
  <si>
    <t>Total</t>
  </si>
  <si>
    <t>Percentage</t>
  </si>
  <si>
    <t>Result</t>
  </si>
  <si>
    <t>Ahmed</t>
  </si>
  <si>
    <t>Nihal</t>
  </si>
  <si>
    <t>Gufran</t>
  </si>
  <si>
    <t>Sadik</t>
  </si>
  <si>
    <t>Miran</t>
  </si>
  <si>
    <t>Galib</t>
  </si>
  <si>
    <t>Faiz</t>
  </si>
  <si>
    <t>Tanzila</t>
  </si>
  <si>
    <t>Madiha</t>
  </si>
  <si>
    <t>Shardul</t>
  </si>
  <si>
    <t>Onkar</t>
  </si>
  <si>
    <t>Maximum</t>
  </si>
  <si>
    <t>Minimum</t>
  </si>
  <si>
    <t>Total Pass</t>
  </si>
  <si>
    <t>Total Fail</t>
  </si>
  <si>
    <t>Total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</si>
</sst>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2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1" fontId="0" fillId="0" borderId="1" xfId="0" applyNumberFormat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zoomScale="160" zoomScaleNormal="160" workbookViewId="0">
      <selection activeCell="L6" sqref="L6"/>
    </sheetView>
  </sheetViews>
  <sheetFormatPr defaultRowHeight="15" x14ac:dyDescent="0.25"/>
  <cols>
    <col min="7" max="7" width="1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19</v>
      </c>
      <c r="I1" s="2" t="s">
        <v>20</v>
      </c>
      <c r="J1" s="1" t="s">
        <v>7</v>
      </c>
    </row>
    <row r="2" spans="1:10" x14ac:dyDescent="0.25">
      <c r="A2" s="3">
        <v>1001</v>
      </c>
      <c r="B2" s="3" t="s">
        <v>8</v>
      </c>
      <c r="C2" s="3">
        <v>63</v>
      </c>
      <c r="D2" s="3">
        <v>75</v>
      </c>
      <c r="E2" s="3">
        <v>88</v>
      </c>
      <c r="F2" s="3">
        <f>SUM(C2:E2)</f>
        <v>226</v>
      </c>
      <c r="G2" s="4">
        <f>AVERAGE(C2:E2)</f>
        <v>75.333333333333329</v>
      </c>
      <c r="H2" s="3">
        <f>MAX(C2:E2)</f>
        <v>88</v>
      </c>
      <c r="I2" s="8">
        <f>MIN(C2:E2)</f>
        <v>63</v>
      </c>
      <c r="J2" s="3" t="str">
        <f>IF(G2&gt;=40,"Pass","Fail")</f>
        <v>Pass</v>
      </c>
    </row>
    <row r="3" spans="1:10" x14ac:dyDescent="0.25">
      <c r="A3" s="3">
        <v>1002</v>
      </c>
      <c r="B3" s="3" t="s">
        <v>9</v>
      </c>
      <c r="C3" s="3">
        <v>89</v>
      </c>
      <c r="D3" s="3">
        <v>73</v>
      </c>
      <c r="E3" s="3">
        <v>84</v>
      </c>
      <c r="F3" s="3">
        <f t="shared" ref="F3:F12" si="0">SUM(C3:E3)</f>
        <v>246</v>
      </c>
      <c r="G3" s="4">
        <f t="shared" ref="G3:G12" si="1">AVERAGE(C3:E3)</f>
        <v>82</v>
      </c>
      <c r="H3" s="3">
        <f>MAX(C3:E3)</f>
        <v>89</v>
      </c>
      <c r="I3" s="8">
        <f>MIN(C3:E3)</f>
        <v>73</v>
      </c>
      <c r="J3" s="3" t="str">
        <f>IF(G3&gt;=40,"Pass","Fail")</f>
        <v>Pass</v>
      </c>
    </row>
    <row r="4" spans="1:10" x14ac:dyDescent="0.25">
      <c r="A4" s="3">
        <v>1003</v>
      </c>
      <c r="B4" s="3" t="s">
        <v>10</v>
      </c>
      <c r="C4" s="3">
        <v>97</v>
      </c>
      <c r="D4" s="3">
        <v>71</v>
      </c>
      <c r="E4" s="3">
        <v>85</v>
      </c>
      <c r="F4" s="3">
        <f t="shared" si="0"/>
        <v>253</v>
      </c>
      <c r="G4" s="4">
        <f t="shared" si="1"/>
        <v>84.333333333333329</v>
      </c>
      <c r="H4" s="3">
        <f>MAX(C4:E4)</f>
        <v>97</v>
      </c>
      <c r="I4" s="8">
        <f>MIN(C4:E4)</f>
        <v>71</v>
      </c>
      <c r="J4" s="3" t="str">
        <f>IF(G4&gt;=40,"Pass","Fail")</f>
        <v>Pass</v>
      </c>
    </row>
    <row r="5" spans="1:10" x14ac:dyDescent="0.25">
      <c r="A5" s="3">
        <v>1004</v>
      </c>
      <c r="B5" s="3" t="s">
        <v>11</v>
      </c>
      <c r="C5" s="3">
        <v>45</v>
      </c>
      <c r="D5" s="3">
        <v>72</v>
      </c>
      <c r="E5" s="3">
        <v>89</v>
      </c>
      <c r="F5" s="3">
        <f t="shared" si="0"/>
        <v>206</v>
      </c>
      <c r="G5" s="4">
        <f t="shared" si="1"/>
        <v>68.666666666666671</v>
      </c>
      <c r="H5" s="3">
        <f>MAX(C5:E5)</f>
        <v>89</v>
      </c>
      <c r="I5" s="8">
        <f>MIN(C5:E5)</f>
        <v>45</v>
      </c>
      <c r="J5" s="3" t="str">
        <f>IF(G5&gt;=40,"Pass","Fail")</f>
        <v>Pass</v>
      </c>
    </row>
    <row r="6" spans="1:10" x14ac:dyDescent="0.25">
      <c r="A6" s="3">
        <v>1005</v>
      </c>
      <c r="B6" s="3" t="s">
        <v>12</v>
      </c>
      <c r="C6" s="3">
        <v>86</v>
      </c>
      <c r="D6" s="3">
        <v>78</v>
      </c>
      <c r="E6" s="3">
        <v>86</v>
      </c>
      <c r="F6" s="3">
        <f t="shared" si="0"/>
        <v>250</v>
      </c>
      <c r="G6" s="4">
        <f t="shared" si="1"/>
        <v>83.333333333333329</v>
      </c>
      <c r="H6" s="3">
        <f>MAX(C6:E6)</f>
        <v>86</v>
      </c>
      <c r="I6" s="8">
        <f>MIN(C6:E6)</f>
        <v>78</v>
      </c>
      <c r="J6" s="3" t="str">
        <f>IF(G6&gt;=40,"Pass","Fail")</f>
        <v>Pass</v>
      </c>
    </row>
    <row r="7" spans="1:10" x14ac:dyDescent="0.25">
      <c r="A7" s="3">
        <v>1006</v>
      </c>
      <c r="B7" s="3" t="s">
        <v>13</v>
      </c>
      <c r="C7" s="3">
        <v>38</v>
      </c>
      <c r="D7" s="3">
        <v>32</v>
      </c>
      <c r="E7" s="3">
        <v>25</v>
      </c>
      <c r="F7" s="3">
        <f t="shared" si="0"/>
        <v>95</v>
      </c>
      <c r="G7" s="4">
        <f t="shared" si="1"/>
        <v>31.666666666666668</v>
      </c>
      <c r="H7" s="3">
        <f>MAX(C7:E7)</f>
        <v>38</v>
      </c>
      <c r="I7" s="8">
        <f>MIN(C7:E7)</f>
        <v>25</v>
      </c>
      <c r="J7" s="3" t="str">
        <f>IF(G7&gt;=40,"Pass","Fail")</f>
        <v>Fail</v>
      </c>
    </row>
    <row r="8" spans="1:10" x14ac:dyDescent="0.25">
      <c r="A8" s="3">
        <v>1007</v>
      </c>
      <c r="B8" s="3" t="s">
        <v>14</v>
      </c>
      <c r="C8" s="3">
        <v>63</v>
      </c>
      <c r="D8" s="3">
        <v>63</v>
      </c>
      <c r="E8" s="3">
        <v>85</v>
      </c>
      <c r="F8" s="3">
        <f t="shared" si="0"/>
        <v>211</v>
      </c>
      <c r="G8" s="4">
        <f t="shared" si="1"/>
        <v>70.333333333333329</v>
      </c>
      <c r="H8" s="3">
        <f>MAX(C8:E8)</f>
        <v>85</v>
      </c>
      <c r="I8" s="8">
        <f>MIN(C8:E8)</f>
        <v>63</v>
      </c>
      <c r="J8" s="3" t="str">
        <f>IF(G8&gt;=40,"Pass","Fail")</f>
        <v>Pass</v>
      </c>
    </row>
    <row r="9" spans="1:10" x14ac:dyDescent="0.25">
      <c r="A9" s="3">
        <v>1008</v>
      </c>
      <c r="B9" s="3" t="s">
        <v>15</v>
      </c>
      <c r="C9" s="3">
        <v>65</v>
      </c>
      <c r="D9" s="3">
        <v>64</v>
      </c>
      <c r="E9" s="3">
        <v>84</v>
      </c>
      <c r="F9" s="3">
        <f t="shared" si="0"/>
        <v>213</v>
      </c>
      <c r="G9" s="4">
        <f t="shared" si="1"/>
        <v>71</v>
      </c>
      <c r="H9" s="3">
        <f>MAX(C9:E9)</f>
        <v>84</v>
      </c>
      <c r="I9" s="8">
        <f>MIN(C9:E9)</f>
        <v>64</v>
      </c>
      <c r="J9" s="3" t="str">
        <f>IF(G9&gt;=40,"Pass","Fail")</f>
        <v>Pass</v>
      </c>
    </row>
    <row r="10" spans="1:10" x14ac:dyDescent="0.25">
      <c r="A10" s="3">
        <v>1009</v>
      </c>
      <c r="B10" s="3" t="s">
        <v>16</v>
      </c>
      <c r="C10" s="3">
        <v>45</v>
      </c>
      <c r="D10" s="3">
        <v>98</v>
      </c>
      <c r="E10" s="3">
        <v>82</v>
      </c>
      <c r="F10" s="3">
        <f t="shared" si="0"/>
        <v>225</v>
      </c>
      <c r="G10" s="4">
        <f t="shared" si="1"/>
        <v>75</v>
      </c>
      <c r="H10" s="3">
        <f>MAX(C10:E10)</f>
        <v>98</v>
      </c>
      <c r="I10" s="8">
        <f>MIN(C10:E10)</f>
        <v>45</v>
      </c>
      <c r="J10" s="3" t="str">
        <f>IF(G10&gt;=40,"Pass","Fail")</f>
        <v>Pass</v>
      </c>
    </row>
    <row r="11" spans="1:10" x14ac:dyDescent="0.25">
      <c r="A11" s="3">
        <v>1010</v>
      </c>
      <c r="B11" s="3" t="s">
        <v>17</v>
      </c>
      <c r="C11" s="3">
        <v>49</v>
      </c>
      <c r="D11" s="3">
        <v>88</v>
      </c>
      <c r="E11" s="3">
        <v>83</v>
      </c>
      <c r="F11" s="3">
        <f t="shared" si="0"/>
        <v>220</v>
      </c>
      <c r="G11" s="4">
        <f t="shared" si="1"/>
        <v>73.333333333333329</v>
      </c>
      <c r="H11" s="3">
        <f>MAX(C11:E11)</f>
        <v>88</v>
      </c>
      <c r="I11" s="8">
        <f>MIN(C11:E11)</f>
        <v>49</v>
      </c>
      <c r="J11" s="3" t="str">
        <f>IF(G11&gt;=40,"Pass","Fail")</f>
        <v>Pass</v>
      </c>
    </row>
    <row r="12" spans="1:10" x14ac:dyDescent="0.25">
      <c r="A12" s="3">
        <v>1011</v>
      </c>
      <c r="B12" s="3" t="s">
        <v>18</v>
      </c>
      <c r="C12" s="3">
        <v>97</v>
      </c>
      <c r="D12" s="3">
        <v>85</v>
      </c>
      <c r="E12" s="3">
        <v>81</v>
      </c>
      <c r="F12" s="3">
        <f t="shared" si="0"/>
        <v>263</v>
      </c>
      <c r="G12" s="4">
        <f t="shared" si="1"/>
        <v>87.666666666666671</v>
      </c>
      <c r="H12" s="3">
        <f>MAX(C12:E12)</f>
        <v>97</v>
      </c>
      <c r="I12" s="8">
        <f>MIN(C12:E12)</f>
        <v>81</v>
      </c>
      <c r="J12" s="3" t="str">
        <f>IF(G12&gt;=40,"Pass","Fail")</f>
        <v>Pass</v>
      </c>
    </row>
    <row r="13" spans="1:10" x14ac:dyDescent="0.25">
      <c r="A13" s="9" t="s">
        <v>5</v>
      </c>
      <c r="B13" s="10"/>
      <c r="C13" s="3">
        <f>SUM(C2:C12)</f>
        <v>737</v>
      </c>
      <c r="D13" s="3">
        <f t="shared" ref="D13:E13" si="2">SUM(D2:D12)</f>
        <v>799</v>
      </c>
      <c r="E13" s="3">
        <f t="shared" si="2"/>
        <v>872</v>
      </c>
      <c r="F13" s="5">
        <f>SUM(F2:F12)</f>
        <v>2408</v>
      </c>
      <c r="G13" s="6">
        <f t="shared" ref="G3:G13" si="3">F13/3</f>
        <v>802.66666666666663</v>
      </c>
      <c r="H13" s="11" t="s">
        <v>21</v>
      </c>
      <c r="I13" s="11"/>
      <c r="J13" s="7">
        <f>COUNTIF(J2:J12,"Pass")</f>
        <v>10</v>
      </c>
    </row>
    <row r="14" spans="1:10" x14ac:dyDescent="0.25">
      <c r="A14" s="9" t="s">
        <v>19</v>
      </c>
      <c r="B14" s="10"/>
      <c r="C14" s="3">
        <f>MAX(C2:C12)</f>
        <v>97</v>
      </c>
      <c r="D14" s="3">
        <f t="shared" ref="D14:G14" si="4">MAX(D2:D12)</f>
        <v>98</v>
      </c>
      <c r="E14" s="3">
        <f t="shared" si="4"/>
        <v>89</v>
      </c>
      <c r="F14" s="3">
        <f t="shared" si="4"/>
        <v>263</v>
      </c>
      <c r="G14" s="3">
        <f t="shared" si="4"/>
        <v>87.666666666666671</v>
      </c>
      <c r="H14" s="11" t="s">
        <v>22</v>
      </c>
      <c r="I14" s="11"/>
      <c r="J14" s="7">
        <f>COUNTIF(J2:J12,"Fail")</f>
        <v>1</v>
      </c>
    </row>
    <row r="15" spans="1:10" x14ac:dyDescent="0.25">
      <c r="A15" s="9" t="s">
        <v>20</v>
      </c>
      <c r="B15" s="10"/>
      <c r="C15" s="3">
        <f>MIN(C2:C12)</f>
        <v>38</v>
      </c>
      <c r="D15" s="3">
        <f t="shared" ref="D15:G15" si="5">MIN(D2:D12)</f>
        <v>32</v>
      </c>
      <c r="E15" s="3">
        <f t="shared" si="5"/>
        <v>25</v>
      </c>
      <c r="F15" s="3">
        <f t="shared" si="5"/>
        <v>95</v>
      </c>
      <c r="G15" s="3">
        <f t="shared" si="5"/>
        <v>31.666666666666668</v>
      </c>
      <c r="H15" s="11" t="s">
        <v>23</v>
      </c>
      <c r="I15" s="11"/>
      <c r="J15" s="7">
        <f>SUM(J13:J14)</f>
        <v>11</v>
      </c>
    </row>
  </sheetData>
  <mergeCells count="6">
    <mergeCell ref="A13:B13"/>
    <mergeCell ref="A14:B14"/>
    <mergeCell ref="A15:B15"/>
    <mergeCell ref="H13:I13"/>
    <mergeCell ref="H14:I14"/>
    <mergeCell ref="H15:I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2026-02-10T14:41:20Z</dcterms:created>
  <dcterms:modified xsi:type="dcterms:W3CDTF">2026-02-10T15:09:02Z</dcterms:modified>
</cp:coreProperties>
</file>