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3" i="1" l="1"/>
  <c r="F13" i="1"/>
  <c r="D13" i="1" l="1"/>
  <c r="E13" i="1"/>
  <c r="C13" i="1"/>
  <c r="H3" i="1"/>
  <c r="H4" i="1"/>
  <c r="H5" i="1"/>
  <c r="H6" i="1"/>
  <c r="H7" i="1"/>
  <c r="H8" i="1"/>
  <c r="H9" i="1"/>
  <c r="H10" i="1"/>
  <c r="H11" i="1"/>
  <c r="H12" i="1"/>
  <c r="H2" i="1"/>
  <c r="F7" i="1"/>
  <c r="G7" i="1" s="1"/>
  <c r="G8" i="1"/>
  <c r="G12" i="1"/>
  <c r="F6" i="1"/>
  <c r="G6" i="1" s="1"/>
  <c r="F8" i="1"/>
  <c r="F9" i="1"/>
  <c r="G9" i="1" s="1"/>
  <c r="F10" i="1"/>
  <c r="G10" i="1" s="1"/>
  <c r="F11" i="1"/>
  <c r="G11" i="1" s="1"/>
  <c r="F12" i="1"/>
  <c r="F5" i="1"/>
  <c r="G5" i="1" s="1"/>
  <c r="F4" i="1"/>
  <c r="G4" i="1" s="1"/>
  <c r="F3" i="1"/>
  <c r="G3" i="1" s="1"/>
  <c r="F2" i="1"/>
  <c r="G2" i="1" s="1"/>
  <c r="M9" i="1"/>
  <c r="M11" i="1"/>
  <c r="M6" i="1"/>
  <c r="M5" i="1"/>
  <c r="M4" i="1"/>
  <c r="M3" i="1"/>
</calcChain>
</file>

<file path=xl/sharedStrings.xml><?xml version="1.0" encoding="utf-8"?>
<sst xmlns="http://schemas.openxmlformats.org/spreadsheetml/2006/main" count="19" uniqueCount="19">
  <si>
    <t>Roll No</t>
  </si>
  <si>
    <t>Name</t>
  </si>
  <si>
    <t>C</t>
  </si>
  <si>
    <t>CPP</t>
  </si>
  <si>
    <t>Java</t>
  </si>
  <si>
    <t>Total</t>
  </si>
  <si>
    <t>Ahmed</t>
  </si>
  <si>
    <t>Nihal</t>
  </si>
  <si>
    <t>Gufran</t>
  </si>
  <si>
    <t>Sadik</t>
  </si>
  <si>
    <t>Miran</t>
  </si>
  <si>
    <t>Faiz</t>
  </si>
  <si>
    <t>Tanzila</t>
  </si>
  <si>
    <t>Madiha</t>
  </si>
  <si>
    <t>Shardul</t>
  </si>
  <si>
    <t>Onkar</t>
  </si>
  <si>
    <t>Percentage</t>
  </si>
  <si>
    <t>Galib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</si>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</sst>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zoomScale="145" zoomScaleNormal="145" workbookViewId="0">
      <selection sqref="A1:H12"/>
    </sheetView>
  </sheetViews>
  <sheetFormatPr defaultRowHeight="15" x14ac:dyDescent="0.25"/>
  <cols>
    <col min="1" max="1" width="7.42578125" style="4" bestFit="1" customWidth="1"/>
    <col min="2" max="2" width="7.7109375" style="4" bestFit="1" customWidth="1"/>
    <col min="3" max="6" width="9.140625" style="4"/>
    <col min="7" max="7" width="11" style="4" bestFit="1" customWidth="1"/>
    <col min="8" max="16384" width="9.140625" style="4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16</v>
      </c>
      <c r="H1" s="1" t="s">
        <v>18</v>
      </c>
    </row>
    <row r="2" spans="1:13" x14ac:dyDescent="0.25">
      <c r="A2" s="3">
        <v>1001</v>
      </c>
      <c r="B2" s="3" t="s">
        <v>6</v>
      </c>
      <c r="C2" s="3">
        <v>63</v>
      </c>
      <c r="D2" s="3">
        <v>75</v>
      </c>
      <c r="E2" s="3">
        <v>88</v>
      </c>
      <c r="F2" s="3">
        <f>C2+D2+E2</f>
        <v>226</v>
      </c>
      <c r="G2" s="5">
        <f>F2/3</f>
        <v>75.333333333333329</v>
      </c>
      <c r="H2" s="3" t="str">
        <f>IF(G2&gt;=40,"Pass","Fail")</f>
        <v>Pass</v>
      </c>
    </row>
    <row r="3" spans="1:13" x14ac:dyDescent="0.25">
      <c r="A3" s="3">
        <v>1002</v>
      </c>
      <c r="B3" s="3" t="s">
        <v>7</v>
      </c>
      <c r="C3" s="3">
        <v>89</v>
      </c>
      <c r="D3" s="3">
        <v>73</v>
      </c>
      <c r="E3" s="3">
        <v>84</v>
      </c>
      <c r="F3" s="3">
        <f>C3+D3+E3</f>
        <v>246</v>
      </c>
      <c r="G3" s="5">
        <f t="shared" ref="G3:G12" si="0">F3/3</f>
        <v>82</v>
      </c>
      <c r="H3" s="3" t="str">
        <f t="shared" ref="H3:H12" si="1">IF(G3&gt;=40,"Pass","Fail")</f>
        <v>Pass</v>
      </c>
      <c r="M3" s="4">
        <f>33+21</f>
        <v>54</v>
      </c>
    </row>
    <row r="4" spans="1:13" x14ac:dyDescent="0.25">
      <c r="A4" s="3">
        <v>1003</v>
      </c>
      <c r="B4" s="3" t="s">
        <v>8</v>
      </c>
      <c r="C4" s="3">
        <v>97</v>
      </c>
      <c r="D4" s="3">
        <v>71</v>
      </c>
      <c r="E4" s="3">
        <v>85</v>
      </c>
      <c r="F4" s="3">
        <f>C4+D4+E4</f>
        <v>253</v>
      </c>
      <c r="G4" s="5">
        <f t="shared" si="0"/>
        <v>84.333333333333329</v>
      </c>
      <c r="H4" s="3" t="str">
        <f t="shared" si="1"/>
        <v>Pass</v>
      </c>
      <c r="M4" s="4">
        <f>65-21</f>
        <v>44</v>
      </c>
    </row>
    <row r="5" spans="1:13" x14ac:dyDescent="0.25">
      <c r="A5" s="3">
        <v>1004</v>
      </c>
      <c r="B5" s="3" t="s">
        <v>9</v>
      </c>
      <c r="C5" s="3">
        <v>45</v>
      </c>
      <c r="D5" s="3">
        <v>72</v>
      </c>
      <c r="E5" s="3">
        <v>89</v>
      </c>
      <c r="F5" s="3">
        <f>C5+D5+E5</f>
        <v>206</v>
      </c>
      <c r="G5" s="5">
        <f t="shared" si="0"/>
        <v>68.666666666666671</v>
      </c>
      <c r="H5" s="3" t="str">
        <f t="shared" si="1"/>
        <v>Pass</v>
      </c>
      <c r="M5" s="4">
        <f>61*2</f>
        <v>122</v>
      </c>
    </row>
    <row r="6" spans="1:13" x14ac:dyDescent="0.25">
      <c r="A6" s="3">
        <v>1005</v>
      </c>
      <c r="B6" s="3" t="s">
        <v>10</v>
      </c>
      <c r="C6" s="3">
        <v>86</v>
      </c>
      <c r="D6" s="3">
        <v>78</v>
      </c>
      <c r="E6" s="3">
        <v>86</v>
      </c>
      <c r="F6" s="3">
        <f t="shared" ref="F6:F12" si="2">C6+D6+E6</f>
        <v>250</v>
      </c>
      <c r="G6" s="5">
        <f t="shared" si="0"/>
        <v>83.333333333333329</v>
      </c>
      <c r="H6" s="3" t="str">
        <f t="shared" si="1"/>
        <v>Pass</v>
      </c>
      <c r="M6" s="4">
        <f>(10+2)*6</f>
        <v>72</v>
      </c>
    </row>
    <row r="7" spans="1:13" x14ac:dyDescent="0.25">
      <c r="A7" s="3">
        <v>1006</v>
      </c>
      <c r="B7" s="3" t="s">
        <v>17</v>
      </c>
      <c r="C7" s="3">
        <v>38</v>
      </c>
      <c r="D7" s="3">
        <v>32</v>
      </c>
      <c r="E7" s="3">
        <v>25</v>
      </c>
      <c r="F7" s="3">
        <f t="shared" si="2"/>
        <v>95</v>
      </c>
      <c r="G7" s="5">
        <f t="shared" si="0"/>
        <v>31.666666666666668</v>
      </c>
      <c r="H7" s="3" t="str">
        <f t="shared" si="1"/>
        <v>Fail</v>
      </c>
    </row>
    <row r="8" spans="1:13" x14ac:dyDescent="0.25">
      <c r="A8" s="3">
        <v>1007</v>
      </c>
      <c r="B8" s="3" t="s">
        <v>11</v>
      </c>
      <c r="C8" s="3">
        <v>63</v>
      </c>
      <c r="D8" s="3">
        <v>63</v>
      </c>
      <c r="E8" s="3">
        <v>85</v>
      </c>
      <c r="F8" s="3">
        <f t="shared" si="2"/>
        <v>211</v>
      </c>
      <c r="G8" s="5">
        <f t="shared" si="0"/>
        <v>70.333333333333329</v>
      </c>
      <c r="H8" s="3" t="str">
        <f t="shared" si="1"/>
        <v>Pass</v>
      </c>
    </row>
    <row r="9" spans="1:13" x14ac:dyDescent="0.25">
      <c r="A9" s="3">
        <v>1008</v>
      </c>
      <c r="B9" s="3" t="s">
        <v>12</v>
      </c>
      <c r="C9" s="3">
        <v>65</v>
      </c>
      <c r="D9" s="3">
        <v>64</v>
      </c>
      <c r="E9" s="3">
        <v>84</v>
      </c>
      <c r="F9" s="3">
        <f t="shared" si="2"/>
        <v>213</v>
      </c>
      <c r="G9" s="5">
        <f t="shared" si="0"/>
        <v>71</v>
      </c>
      <c r="H9" s="3" t="str">
        <f t="shared" si="1"/>
        <v>Pass</v>
      </c>
      <c r="M9" s="4">
        <f>C2+D2+E2</f>
        <v>226</v>
      </c>
    </row>
    <row r="10" spans="1:13" x14ac:dyDescent="0.25">
      <c r="A10" s="3">
        <v>1009</v>
      </c>
      <c r="B10" s="3" t="s">
        <v>13</v>
      </c>
      <c r="C10" s="3">
        <v>45</v>
      </c>
      <c r="D10" s="3">
        <v>98</v>
      </c>
      <c r="E10" s="3">
        <v>82</v>
      </c>
      <c r="F10" s="3">
        <f t="shared" si="2"/>
        <v>225</v>
      </c>
      <c r="G10" s="5">
        <f t="shared" si="0"/>
        <v>75</v>
      </c>
      <c r="H10" s="3" t="str">
        <f t="shared" si="1"/>
        <v>Pass</v>
      </c>
    </row>
    <row r="11" spans="1:13" x14ac:dyDescent="0.25">
      <c r="A11" s="3">
        <v>1010</v>
      </c>
      <c r="B11" s="3" t="s">
        <v>14</v>
      </c>
      <c r="C11" s="3">
        <v>49</v>
      </c>
      <c r="D11" s="3">
        <v>88</v>
      </c>
      <c r="E11" s="3">
        <v>83</v>
      </c>
      <c r="F11" s="3">
        <f t="shared" si="2"/>
        <v>220</v>
      </c>
      <c r="G11" s="5">
        <f t="shared" si="0"/>
        <v>73.333333333333329</v>
      </c>
      <c r="H11" s="3" t="str">
        <f t="shared" si="1"/>
        <v>Pass</v>
      </c>
      <c r="M11" s="4">
        <f>91+98</f>
        <v>189</v>
      </c>
    </row>
    <row r="12" spans="1:13" x14ac:dyDescent="0.25">
      <c r="A12" s="3">
        <v>1011</v>
      </c>
      <c r="B12" s="3" t="s">
        <v>15</v>
      </c>
      <c r="C12" s="3">
        <v>97</v>
      </c>
      <c r="D12" s="3">
        <v>85</v>
      </c>
      <c r="E12" s="3">
        <v>81</v>
      </c>
      <c r="F12" s="3">
        <f t="shared" si="2"/>
        <v>263</v>
      </c>
      <c r="G12" s="5">
        <f t="shared" si="0"/>
        <v>87.666666666666671</v>
      </c>
      <c r="H12" s="3" t="str">
        <f t="shared" si="1"/>
        <v>Pass</v>
      </c>
    </row>
    <row r="13" spans="1:13" x14ac:dyDescent="0.25">
      <c r="C13" s="4">
        <f>SUM(C2:C12)</f>
        <v>737</v>
      </c>
      <c r="D13" s="4">
        <f t="shared" ref="D13:H13" si="3">SUM(D2:D12)</f>
        <v>799</v>
      </c>
      <c r="E13" s="4">
        <f t="shared" si="3"/>
        <v>872</v>
      </c>
      <c r="F13" s="4">
        <f t="shared" si="3"/>
        <v>2408</v>
      </c>
      <c r="G13" s="4">
        <f t="shared" si="3"/>
        <v>802.66666666666663</v>
      </c>
    </row>
    <row r="16" spans="1:13" x14ac:dyDescent="0.25">
      <c r="D16" s="3"/>
    </row>
    <row r="17" spans="4:4" x14ac:dyDescent="0.25">
      <c r="D1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2026-02-09T14:44:28Z</dcterms:created>
  <dcterms:modified xsi:type="dcterms:W3CDTF">2026-02-10T15:15:44Z</dcterms:modified>
</cp:coreProperties>
</file>