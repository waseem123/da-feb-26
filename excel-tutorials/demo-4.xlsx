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2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15" i="3" l="1"/>
  <c r="F16" i="3"/>
  <c r="F17" i="3"/>
  <c r="F18" i="3"/>
  <c r="F19" i="3"/>
  <c r="F20" i="3"/>
  <c r="F14" i="3"/>
  <c r="F13" i="3"/>
  <c r="F12" i="3"/>
  <c r="F11" i="3"/>
  <c r="D11" i="3"/>
  <c r="H3" i="3"/>
  <c r="H4" i="3"/>
  <c r="H5" i="3"/>
  <c r="H6" i="3"/>
  <c r="H7" i="3"/>
  <c r="H8" i="3"/>
  <c r="H9" i="3"/>
  <c r="G6" i="3"/>
  <c r="G7" i="3" s="1"/>
  <c r="G9" i="3"/>
  <c r="G4" i="3"/>
  <c r="G3" i="3"/>
  <c r="H2" i="3"/>
  <c r="F3" i="3"/>
  <c r="F4" i="3"/>
  <c r="F5" i="3"/>
  <c r="F6" i="3"/>
  <c r="F7" i="3"/>
  <c r="F8" i="3"/>
  <c r="F9" i="3"/>
  <c r="F2" i="3"/>
  <c r="E3" i="3"/>
  <c r="E4" i="3"/>
  <c r="E5" i="3"/>
  <c r="E6" i="3"/>
  <c r="E7" i="3"/>
  <c r="E8" i="3"/>
  <c r="E9" i="3"/>
  <c r="E2" i="3"/>
  <c r="H3" i="2"/>
  <c r="H4" i="2"/>
  <c r="H5" i="2"/>
  <c r="H6" i="2"/>
  <c r="H7" i="2"/>
  <c r="H8" i="2"/>
  <c r="H9" i="2"/>
  <c r="H2" i="2"/>
  <c r="F5" i="2"/>
  <c r="F7" i="2"/>
  <c r="G7" i="2" s="1"/>
  <c r="G5" i="2"/>
  <c r="E2" i="2"/>
  <c r="F2" i="2" s="1"/>
  <c r="E3" i="2"/>
  <c r="F3" i="2" s="1"/>
  <c r="E4" i="2"/>
  <c r="F4" i="2" s="1"/>
  <c r="E5" i="2"/>
  <c r="E6" i="2"/>
  <c r="F6" i="2" s="1"/>
  <c r="E7" i="2"/>
  <c r="E8" i="2"/>
  <c r="F8" i="2" s="1"/>
  <c r="E9" i="2"/>
  <c r="F9" i="2" s="1"/>
  <c r="G3" i="2" l="1"/>
  <c r="G9" i="2"/>
  <c r="G2" i="2"/>
  <c r="G6" i="2"/>
  <c r="G8" i="2"/>
  <c r="G4" i="2"/>
  <c r="I3" i="1"/>
  <c r="I4" i="1"/>
  <c r="I5" i="1"/>
  <c r="I6" i="1"/>
  <c r="I7" i="1"/>
  <c r="I8" i="1"/>
  <c r="I9" i="1"/>
  <c r="I10" i="1"/>
  <c r="I11" i="1"/>
  <c r="I12" i="1"/>
  <c r="I2" i="1"/>
  <c r="D16" i="1"/>
  <c r="C14" i="1"/>
  <c r="P11" i="1"/>
  <c r="P10" i="1"/>
  <c r="P9" i="1"/>
  <c r="P8" i="1"/>
  <c r="O11" i="1"/>
  <c r="O10" i="1"/>
  <c r="O9" i="1"/>
  <c r="O8" i="1"/>
  <c r="M5" i="1" s="1"/>
  <c r="M9" i="1"/>
  <c r="M8" i="1"/>
  <c r="M4" i="1"/>
  <c r="M2" i="1"/>
  <c r="M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<sst xmlns="http://schemas.openxmlformats.org/spreadsheetml/2006/main" count="81" uniqueCount="61">
  <si>
    <t>Roll No</t>
  </si>
  <si>
    <t>Name</t>
  </si>
  <si>
    <t>C</t>
  </si>
  <si>
    <t>CPP</t>
  </si>
  <si>
    <t>Java</t>
  </si>
  <si>
    <t>Total</t>
  </si>
  <si>
    <t>Percentage</t>
  </si>
  <si>
    <t>Ahmed</t>
  </si>
  <si>
    <t>Nihal</t>
  </si>
  <si>
    <t>Gufran</t>
  </si>
  <si>
    <t>Sadik</t>
  </si>
  <si>
    <t>Miran</t>
  </si>
  <si>
    <t>Galib</t>
  </si>
  <si>
    <t>Faiz</t>
  </si>
  <si>
    <t>Tanzila</t>
  </si>
  <si>
    <t>Madiha</t>
  </si>
  <si>
    <t>Shardul</t>
  </si>
  <si>
    <t>Onkar</t>
  </si>
  <si>
    <t>A</t>
  </si>
  <si>
    <t>B</t>
  </si>
  <si>
    <t>A AND B</t>
  </si>
  <si>
    <t>A OR B</t>
  </si>
  <si>
    <t>Gender</t>
  </si>
  <si>
    <t>Male</t>
  </si>
  <si>
    <t>Female</t>
  </si>
  <si>
    <t>Name With Title</t>
  </si>
  <si>
    <t>ID</t>
  </si>
  <si>
    <t>Product</t>
  </si>
  <si>
    <t>Price</t>
  </si>
  <si>
    <t>Quantity</t>
  </si>
  <si>
    <t>Amount</t>
  </si>
  <si>
    <t>Mobile</t>
  </si>
  <si>
    <t>Sofa</t>
  </si>
  <si>
    <t>Refridgerator</t>
  </si>
  <si>
    <t>Wardrobe</t>
  </si>
  <si>
    <t>Charger</t>
  </si>
  <si>
    <t>Laptop</t>
  </si>
  <si>
    <t>Hair Dryer</t>
  </si>
  <si>
    <t>Water Bottle</t>
  </si>
  <si>
    <t>Discount</t>
  </si>
  <si>
    <t>Payable</t>
  </si>
  <si>
    <t>price</t>
  </si>
  <si>
    <t>Data</t>
  </si>
  <si>
    <t>Faiz,Ayodhya,UP</t>
  </si>
  <si>
    <t>Madiha,Bengaluru,KA</t>
  </si>
  <si>
    <t>Sadik,Trivandrum,KL</t>
  </si>
  <si>
    <t>Gufran,Kolkata,WB</t>
  </si>
  <si>
    <t>Nihal,Hyderabad,TS</t>
  </si>
  <si>
    <t>State</t>
  </si>
  <si>
    <t>Sr.No</t>
  </si>
  <si>
    <t>Ahmed,Akbarpur,UP</t>
  </si>
  <si>
    <t>Miran,Solapur,MH,</t>
  </si>
  <si>
    <t>Surname</t>
  </si>
  <si>
    <t>Belif</t>
  </si>
  <si>
    <t>Shaikh</t>
  </si>
  <si>
    <t>Khan</t>
  </si>
  <si>
    <t>Parande</t>
  </si>
  <si>
    <t>Pirjade</t>
  </si>
  <si>
    <t>Satkhed</t>
  </si>
  <si>
    <t>FullName</t>
  </si>
  <si>
    <t>Tanzila,Mumbai,MH,xyz,mh,MH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</si>
</sst>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zoomScale="145" zoomScaleNormal="145" workbookViewId="0">
      <selection activeCell="K12" sqref="K12"/>
    </sheetView>
  </sheetViews>
  <sheetFormatPr defaultRowHeight="15" x14ac:dyDescent="0.25"/>
  <cols>
    <col min="7" max="7" width="11" bestFit="1" customWidth="1"/>
    <col min="9" max="9" width="15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22</v>
      </c>
      <c r="I1" s="2" t="s">
        <v>25</v>
      </c>
    </row>
    <row r="2" spans="1:16" x14ac:dyDescent="0.25">
      <c r="A2" s="3">
        <v>1001</v>
      </c>
      <c r="B2" s="3" t="s">
        <v>7</v>
      </c>
      <c r="C2" s="3">
        <v>63</v>
      </c>
      <c r="D2" s="3">
        <v>75</v>
      </c>
      <c r="E2" s="3">
        <v>88</v>
      </c>
      <c r="F2" s="3">
        <f>SUM(C2:E2)</f>
        <v>226</v>
      </c>
      <c r="G2" s="4">
        <f>AVERAGE(C2:E2)</f>
        <v>75.333333333333329</v>
      </c>
      <c r="H2" s="5" t="s">
        <v>23</v>
      </c>
      <c r="I2" s="5" t="str">
        <f>CONCATENATE(IF(H2="Male","Mr. ","Miss "),B2)</f>
        <v>Mr. Ahmed</v>
      </c>
      <c r="M2" t="b">
        <f>TRUE()</f>
        <v>1</v>
      </c>
    </row>
    <row r="3" spans="1:16" x14ac:dyDescent="0.25">
      <c r="A3" s="3">
        <v>1002</v>
      </c>
      <c r="B3" s="3" t="s">
        <v>8</v>
      </c>
      <c r="C3" s="3">
        <v>89</v>
      </c>
      <c r="D3" s="3">
        <v>73</v>
      </c>
      <c r="E3" s="3">
        <v>84</v>
      </c>
      <c r="F3" s="3">
        <f t="shared" ref="F3:F12" si="0">SUM(C3:E3)</f>
        <v>246</v>
      </c>
      <c r="G3" s="4">
        <f t="shared" ref="G3:G12" si="1">AVERAGE(C3:E3)</f>
        <v>82</v>
      </c>
      <c r="H3" s="5" t="s">
        <v>23</v>
      </c>
      <c r="I3" s="5" t="str">
        <f t="shared" ref="I3:I12" si="2">CONCATENATE(IF(H3="Male","Mr. ","Miss "),B3)</f>
        <v>Mr. Nihal</v>
      </c>
      <c r="M3" t="b">
        <f>FALSE()</f>
        <v>0</v>
      </c>
    </row>
    <row r="4" spans="1:16" x14ac:dyDescent="0.25">
      <c r="A4" s="3">
        <v>1003</v>
      </c>
      <c r="B4" s="3" t="s">
        <v>9</v>
      </c>
      <c r="C4" s="3">
        <v>97</v>
      </c>
      <c r="D4" s="3">
        <v>71</v>
      </c>
      <c r="E4" s="3">
        <v>85</v>
      </c>
      <c r="F4" s="3">
        <f t="shared" si="0"/>
        <v>253</v>
      </c>
      <c r="G4" s="4">
        <f t="shared" si="1"/>
        <v>84.333333333333329</v>
      </c>
      <c r="H4" s="5" t="s">
        <v>23</v>
      </c>
      <c r="I4" s="5" t="str">
        <f t="shared" si="2"/>
        <v>Mr. Gufran</v>
      </c>
      <c r="M4" t="b">
        <f>NOT(FALSE)</f>
        <v>1</v>
      </c>
    </row>
    <row r="5" spans="1:16" x14ac:dyDescent="0.25">
      <c r="A5" s="3">
        <v>1004</v>
      </c>
      <c r="B5" s="3" t="s">
        <v>10</v>
      </c>
      <c r="C5" s="3">
        <v>45</v>
      </c>
      <c r="D5" s="3">
        <v>72</v>
      </c>
      <c r="E5" s="3">
        <v>89</v>
      </c>
      <c r="F5" s="3">
        <f t="shared" si="0"/>
        <v>206</v>
      </c>
      <c r="G5" s="4">
        <f t="shared" si="1"/>
        <v>68.666666666666671</v>
      </c>
      <c r="H5" s="5" t="s">
        <v>23</v>
      </c>
      <c r="I5" s="5" t="str">
        <f t="shared" si="2"/>
        <v>Mr. Sadik</v>
      </c>
      <c r="M5" t="b">
        <f>NOT(O8)</f>
        <v>1</v>
      </c>
    </row>
    <row r="6" spans="1:16" x14ac:dyDescent="0.25">
      <c r="A6" s="3">
        <v>1005</v>
      </c>
      <c r="B6" s="3" t="s">
        <v>11</v>
      </c>
      <c r="C6" s="3">
        <v>86</v>
      </c>
      <c r="D6" s="3">
        <v>78</v>
      </c>
      <c r="E6" s="3">
        <v>86</v>
      </c>
      <c r="F6" s="3">
        <f t="shared" si="0"/>
        <v>250</v>
      </c>
      <c r="G6" s="4">
        <f t="shared" si="1"/>
        <v>83.333333333333329</v>
      </c>
      <c r="H6" s="5" t="s">
        <v>23</v>
      </c>
      <c r="I6" s="5" t="str">
        <f t="shared" si="2"/>
        <v>Mr. Miran</v>
      </c>
    </row>
    <row r="7" spans="1:16" x14ac:dyDescent="0.25">
      <c r="A7" s="3">
        <v>1006</v>
      </c>
      <c r="B7" s="3" t="s">
        <v>12</v>
      </c>
      <c r="C7" s="3">
        <v>38</v>
      </c>
      <c r="D7" s="3">
        <v>32</v>
      </c>
      <c r="E7" s="3">
        <v>25</v>
      </c>
      <c r="F7" s="3">
        <f t="shared" si="0"/>
        <v>95</v>
      </c>
      <c r="G7" s="4">
        <f t="shared" si="1"/>
        <v>31.666666666666668</v>
      </c>
      <c r="H7" s="5" t="s">
        <v>23</v>
      </c>
      <c r="I7" s="5" t="str">
        <f t="shared" si="2"/>
        <v>Mr. Galib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25">
      <c r="A8" s="3">
        <v>1007</v>
      </c>
      <c r="B8" s="3" t="s">
        <v>13</v>
      </c>
      <c r="C8" s="3">
        <v>63</v>
      </c>
      <c r="D8" s="3">
        <v>63</v>
      </c>
      <c r="E8" s="3">
        <v>85</v>
      </c>
      <c r="F8" s="3">
        <f t="shared" si="0"/>
        <v>211</v>
      </c>
      <c r="G8" s="4">
        <f t="shared" si="1"/>
        <v>70.333333333333329</v>
      </c>
      <c r="H8" s="5" t="s">
        <v>23</v>
      </c>
      <c r="I8" s="5" t="str">
        <f t="shared" si="2"/>
        <v>Mr. Faiz</v>
      </c>
      <c r="M8" s="3" t="b">
        <f>FALSE</f>
        <v>0</v>
      </c>
      <c r="N8" s="3" t="b">
        <v>0</v>
      </c>
      <c r="O8" s="3" t="b">
        <f>AND(M8,N8)</f>
        <v>0</v>
      </c>
      <c r="P8" s="3" t="b">
        <f>OR(M8:N8)</f>
        <v>0</v>
      </c>
    </row>
    <row r="9" spans="1:16" x14ac:dyDescent="0.25">
      <c r="A9" s="3">
        <v>1008</v>
      </c>
      <c r="B9" s="3" t="s">
        <v>14</v>
      </c>
      <c r="C9" s="3">
        <v>65</v>
      </c>
      <c r="D9" s="3">
        <v>64</v>
      </c>
      <c r="E9" s="3">
        <v>84</v>
      </c>
      <c r="F9" s="3">
        <f t="shared" si="0"/>
        <v>213</v>
      </c>
      <c r="G9" s="4">
        <f t="shared" si="1"/>
        <v>71</v>
      </c>
      <c r="H9" s="5" t="s">
        <v>24</v>
      </c>
      <c r="I9" s="5" t="str">
        <f t="shared" si="2"/>
        <v>Miss Tanzila</v>
      </c>
      <c r="M9" s="3" t="b">
        <f>FALSE</f>
        <v>0</v>
      </c>
      <c r="N9" s="3" t="b">
        <v>1</v>
      </c>
      <c r="O9" s="3" t="b">
        <f>AND(M9:N9)</f>
        <v>0</v>
      </c>
      <c r="P9" s="3" t="b">
        <f>OR(M9:N9)</f>
        <v>1</v>
      </c>
    </row>
    <row r="10" spans="1:16" x14ac:dyDescent="0.25">
      <c r="A10" s="3">
        <v>1009</v>
      </c>
      <c r="B10" s="3" t="s">
        <v>15</v>
      </c>
      <c r="C10" s="3">
        <v>45</v>
      </c>
      <c r="D10" s="3">
        <v>98</v>
      </c>
      <c r="E10" s="3">
        <v>82</v>
      </c>
      <c r="F10" s="3">
        <f t="shared" si="0"/>
        <v>225</v>
      </c>
      <c r="G10" s="4">
        <f t="shared" si="1"/>
        <v>75</v>
      </c>
      <c r="H10" s="5" t="s">
        <v>24</v>
      </c>
      <c r="I10" s="5" t="str">
        <f t="shared" si="2"/>
        <v>Miss Madiha</v>
      </c>
      <c r="M10" s="3" t="b">
        <v>1</v>
      </c>
      <c r="N10" s="3" t="b">
        <v>0</v>
      </c>
      <c r="O10" s="3" t="b">
        <f>AND(M10:N10)</f>
        <v>0</v>
      </c>
      <c r="P10" s="3" t="b">
        <f>OR(M10:N10)</f>
        <v>1</v>
      </c>
    </row>
    <row r="11" spans="1:16" x14ac:dyDescent="0.25">
      <c r="A11" s="3">
        <v>1010</v>
      </c>
      <c r="B11" s="3" t="s">
        <v>16</v>
      </c>
      <c r="C11" s="3">
        <v>49</v>
      </c>
      <c r="D11" s="3">
        <v>88</v>
      </c>
      <c r="E11" s="3">
        <v>83</v>
      </c>
      <c r="F11" s="3">
        <f t="shared" si="0"/>
        <v>220</v>
      </c>
      <c r="G11" s="4">
        <f t="shared" si="1"/>
        <v>73.333333333333329</v>
      </c>
      <c r="H11" s="5" t="s">
        <v>23</v>
      </c>
      <c r="I11" s="5" t="str">
        <f t="shared" si="2"/>
        <v>Mr. Shardul</v>
      </c>
      <c r="M11" s="3" t="b">
        <v>1</v>
      </c>
      <c r="N11" s="3" t="b">
        <v>1</v>
      </c>
      <c r="O11" s="3" t="b">
        <f>AND(M11:N11)</f>
        <v>1</v>
      </c>
      <c r="P11" s="3" t="b">
        <f>OR(M11:N11)</f>
        <v>1</v>
      </c>
    </row>
    <row r="12" spans="1:16" x14ac:dyDescent="0.25">
      <c r="A12" s="3">
        <v>1011</v>
      </c>
      <c r="B12" s="3" t="s">
        <v>17</v>
      </c>
      <c r="C12" s="3">
        <v>97</v>
      </c>
      <c r="D12" s="3">
        <v>85</v>
      </c>
      <c r="E12" s="3">
        <v>81</v>
      </c>
      <c r="F12" s="3">
        <f t="shared" si="0"/>
        <v>263</v>
      </c>
      <c r="G12" s="4">
        <f t="shared" si="1"/>
        <v>87.666666666666671</v>
      </c>
      <c r="H12" s="5" t="s">
        <v>23</v>
      </c>
      <c r="I12" s="5" t="str">
        <f t="shared" si="2"/>
        <v>Mr. Onkar</v>
      </c>
    </row>
    <row r="14" spans="1:16" x14ac:dyDescent="0.25">
      <c r="C14">
        <f>AND(TRUE,FALSE,TRUE)+AND(MOD(5,2)=0,(30/5)=6)+AND((60/5)=12,"Boss"="Toss")</f>
        <v>0</v>
      </c>
    </row>
    <row r="16" spans="1:16" x14ac:dyDescent="0.25">
      <c r="D16" t="str">
        <f>CONCATENATE("Faiz","Ahmed","Waseem")</f>
        <v>FaizAhmedWaseem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175" zoomScaleNormal="175" workbookViewId="0">
      <selection activeCell="B11" sqref="B11"/>
    </sheetView>
  </sheetViews>
  <sheetFormatPr defaultRowHeight="15" x14ac:dyDescent="0.25"/>
  <cols>
    <col min="1" max="1" width="2.85546875" style="9" bestFit="1" customWidth="1"/>
    <col min="2" max="2" width="12.85546875" style="9" bestFit="1" customWidth="1"/>
    <col min="3" max="3" width="6.28515625" style="9" bestFit="1" customWidth="1"/>
    <col min="4" max="8" width="9.140625" style="9"/>
  </cols>
  <sheetData>
    <row r="1" spans="1:8" x14ac:dyDescent="0.25">
      <c r="A1" s="1" t="s">
        <v>26</v>
      </c>
      <c r="B1" s="1" t="s">
        <v>27</v>
      </c>
      <c r="C1" s="7" t="s">
        <v>28</v>
      </c>
      <c r="D1" s="1" t="s">
        <v>29</v>
      </c>
      <c r="E1" s="1" t="s">
        <v>30</v>
      </c>
      <c r="F1" s="2" t="s">
        <v>39</v>
      </c>
      <c r="G1" s="2" t="s">
        <v>40</v>
      </c>
      <c r="H1" s="2" t="s">
        <v>41</v>
      </c>
    </row>
    <row r="2" spans="1:8" x14ac:dyDescent="0.25">
      <c r="A2" s="3">
        <v>1</v>
      </c>
      <c r="B2" s="3" t="s">
        <v>31</v>
      </c>
      <c r="C2" s="8">
        <v>15000</v>
      </c>
      <c r="D2" s="3">
        <v>2</v>
      </c>
      <c r="E2" s="3">
        <f>C2*D2</f>
        <v>30000</v>
      </c>
      <c r="F2" s="3">
        <f>IF(E2&gt;10000,(E2/2),0)</f>
        <v>15000</v>
      </c>
      <c r="G2" s="3">
        <f>E2-F2</f>
        <v>15000</v>
      </c>
      <c r="H2" s="3">
        <f>IFERROR(E2/D2,"ERROR")</f>
        <v>15000</v>
      </c>
    </row>
    <row r="3" spans="1:8" x14ac:dyDescent="0.25">
      <c r="A3" s="3">
        <v>2</v>
      </c>
      <c r="B3" s="3" t="s">
        <v>32</v>
      </c>
      <c r="C3" s="8">
        <v>30000</v>
      </c>
      <c r="D3" s="3"/>
      <c r="E3" s="3">
        <f t="shared" ref="E3:E9" si="0">C3*D3</f>
        <v>0</v>
      </c>
      <c r="F3" s="3">
        <f t="shared" ref="F3:F9" si="1">IF(E3&gt;10000,(E3/2),0)</f>
        <v>0</v>
      </c>
      <c r="G3" s="3">
        <f t="shared" ref="G3:G9" si="2">E3-F3</f>
        <v>0</v>
      </c>
      <c r="H3" s="3" t="str">
        <f t="shared" ref="H3:H9" si="3">IFERROR(E3/D3,"ERROR")</f>
        <v>ERROR</v>
      </c>
    </row>
    <row r="4" spans="1:8" x14ac:dyDescent="0.25">
      <c r="A4" s="3">
        <v>3</v>
      </c>
      <c r="B4" s="3" t="s">
        <v>33</v>
      </c>
      <c r="C4" s="8">
        <v>27000</v>
      </c>
      <c r="D4" s="3">
        <v>1</v>
      </c>
      <c r="E4" s="3">
        <f t="shared" si="0"/>
        <v>27000</v>
      </c>
      <c r="F4" s="3">
        <f t="shared" si="1"/>
        <v>13500</v>
      </c>
      <c r="G4" s="3">
        <f t="shared" si="2"/>
        <v>13500</v>
      </c>
      <c r="H4" s="3">
        <f t="shared" si="3"/>
        <v>27000</v>
      </c>
    </row>
    <row r="5" spans="1:8" x14ac:dyDescent="0.25">
      <c r="A5" s="3">
        <v>4</v>
      </c>
      <c r="B5" s="3" t="s">
        <v>34</v>
      </c>
      <c r="C5" s="8">
        <v>55000</v>
      </c>
      <c r="D5" s="3">
        <v>3</v>
      </c>
      <c r="E5" s="3">
        <f t="shared" si="0"/>
        <v>165000</v>
      </c>
      <c r="F5" s="3">
        <f t="shared" si="1"/>
        <v>82500</v>
      </c>
      <c r="G5" s="3">
        <f t="shared" si="2"/>
        <v>82500</v>
      </c>
      <c r="H5" s="3">
        <f t="shared" si="3"/>
        <v>55000</v>
      </c>
    </row>
    <row r="6" spans="1:8" x14ac:dyDescent="0.25">
      <c r="A6" s="3">
        <v>5</v>
      </c>
      <c r="B6" s="3" t="s">
        <v>35</v>
      </c>
      <c r="C6" s="8">
        <v>750</v>
      </c>
      <c r="D6" s="3">
        <v>10</v>
      </c>
      <c r="E6" s="3">
        <f t="shared" si="0"/>
        <v>7500</v>
      </c>
      <c r="F6" s="3">
        <f t="shared" si="1"/>
        <v>0</v>
      </c>
      <c r="G6" s="3">
        <f t="shared" si="2"/>
        <v>7500</v>
      </c>
      <c r="H6" s="3">
        <f t="shared" si="3"/>
        <v>750</v>
      </c>
    </row>
    <row r="7" spans="1:8" x14ac:dyDescent="0.25">
      <c r="A7" s="3">
        <v>6</v>
      </c>
      <c r="B7" s="3" t="s">
        <v>36</v>
      </c>
      <c r="C7" s="8">
        <v>97000</v>
      </c>
      <c r="D7" s="3"/>
      <c r="E7" s="3">
        <f t="shared" si="0"/>
        <v>0</v>
      </c>
      <c r="F7" s="3">
        <f t="shared" si="1"/>
        <v>0</v>
      </c>
      <c r="G7" s="3">
        <f t="shared" si="2"/>
        <v>0</v>
      </c>
      <c r="H7" s="3" t="str">
        <f t="shared" si="3"/>
        <v>ERROR</v>
      </c>
    </row>
    <row r="8" spans="1:8" x14ac:dyDescent="0.25">
      <c r="A8" s="3">
        <v>7</v>
      </c>
      <c r="B8" s="3" t="s">
        <v>37</v>
      </c>
      <c r="C8" s="8">
        <v>600</v>
      </c>
      <c r="D8" s="3">
        <v>6</v>
      </c>
      <c r="E8" s="3">
        <f t="shared" si="0"/>
        <v>3600</v>
      </c>
      <c r="F8" s="3">
        <f t="shared" si="1"/>
        <v>0</v>
      </c>
      <c r="G8" s="3">
        <f t="shared" si="2"/>
        <v>3600</v>
      </c>
      <c r="H8" s="3">
        <f t="shared" si="3"/>
        <v>600</v>
      </c>
    </row>
    <row r="9" spans="1:8" x14ac:dyDescent="0.25">
      <c r="A9" s="3">
        <v>8</v>
      </c>
      <c r="B9" s="3" t="s">
        <v>38</v>
      </c>
      <c r="C9" s="8">
        <v>400</v>
      </c>
      <c r="D9" s="3">
        <v>5</v>
      </c>
      <c r="E9" s="3">
        <f t="shared" si="0"/>
        <v>2000</v>
      </c>
      <c r="F9" s="3">
        <f t="shared" si="1"/>
        <v>0</v>
      </c>
      <c r="G9" s="3">
        <f t="shared" si="2"/>
        <v>2000</v>
      </c>
      <c r="H9" s="3">
        <f t="shared" si="3"/>
        <v>400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zoomScale="175" zoomScaleNormal="175" workbookViewId="0">
      <selection activeCell="G13" sqref="G13"/>
    </sheetView>
  </sheetViews>
  <sheetFormatPr defaultRowHeight="15" x14ac:dyDescent="0.25"/>
  <cols>
    <col min="2" max="2" width="29.7109375" bestFit="1" customWidth="1"/>
    <col min="6" max="6" width="14" bestFit="1" customWidth="1"/>
    <col min="8" max="8" width="13.140625" bestFit="1" customWidth="1"/>
  </cols>
  <sheetData>
    <row r="1" spans="1:8" x14ac:dyDescent="0.25">
      <c r="A1" s="6" t="s">
        <v>49</v>
      </c>
      <c r="B1" s="6" t="s">
        <v>42</v>
      </c>
      <c r="C1" s="6" t="s">
        <v>1</v>
      </c>
      <c r="D1" s="6" t="s">
        <v>52</v>
      </c>
      <c r="E1" s="6" t="s">
        <v>48</v>
      </c>
      <c r="F1" s="6" t="s">
        <v>59</v>
      </c>
    </row>
    <row r="2" spans="1:8" x14ac:dyDescent="0.25">
      <c r="A2">
        <v>1</v>
      </c>
      <c r="B2" t="s">
        <v>51</v>
      </c>
      <c r="C2" t="s">
        <v>11</v>
      </c>
      <c r="D2" t="s">
        <v>53</v>
      </c>
      <c r="E2">
        <f>CODE(B2)</f>
        <v>77</v>
      </c>
      <c r="F2" t="str">
        <f>CONCATENATE(C2," ",D2)</f>
        <v>Miran Belif</v>
      </c>
      <c r="G2">
        <v>10000</v>
      </c>
      <c r="H2" t="str">
        <f>DOLLAR(G2)</f>
        <v>£10,000.00</v>
      </c>
    </row>
    <row r="3" spans="1:8" x14ac:dyDescent="0.25">
      <c r="A3">
        <v>2</v>
      </c>
      <c r="B3" t="s">
        <v>60</v>
      </c>
      <c r="C3" t="s">
        <v>14</v>
      </c>
      <c r="D3" t="s">
        <v>54</v>
      </c>
      <c r="E3">
        <f t="shared" ref="E3:E9" si="0">CODE(B3)</f>
        <v>84</v>
      </c>
      <c r="F3" t="str">
        <f t="shared" ref="F3:F9" si="1">CONCATENATE(C3," ",D3)</f>
        <v>Tanzila Shaikh</v>
      </c>
      <c r="G3">
        <f>G2*10</f>
        <v>100000</v>
      </c>
      <c r="H3" t="str">
        <f t="shared" ref="H3:H9" si="2">DOLLAR(G3)</f>
        <v>£100,000.00</v>
      </c>
    </row>
    <row r="4" spans="1:8" x14ac:dyDescent="0.25">
      <c r="A4">
        <v>3</v>
      </c>
      <c r="B4" t="s">
        <v>50</v>
      </c>
      <c r="C4" t="s">
        <v>7</v>
      </c>
      <c r="D4" t="s">
        <v>55</v>
      </c>
      <c r="E4">
        <f t="shared" si="0"/>
        <v>65</v>
      </c>
      <c r="F4" t="str">
        <f t="shared" si="1"/>
        <v>Ahmed Khan</v>
      </c>
      <c r="G4">
        <f>G3*10</f>
        <v>1000000</v>
      </c>
      <c r="H4" t="str">
        <f t="shared" si="2"/>
        <v>£1,000,000.00</v>
      </c>
    </row>
    <row r="5" spans="1:8" x14ac:dyDescent="0.25">
      <c r="A5">
        <v>4</v>
      </c>
      <c r="B5" t="s">
        <v>43</v>
      </c>
      <c r="C5" t="s">
        <v>13</v>
      </c>
      <c r="D5" t="s">
        <v>56</v>
      </c>
      <c r="E5">
        <f t="shared" si="0"/>
        <v>70</v>
      </c>
      <c r="F5" t="str">
        <f t="shared" si="1"/>
        <v>Faiz Parande</v>
      </c>
      <c r="G5">
        <v>10001</v>
      </c>
      <c r="H5" t="str">
        <f t="shared" si="2"/>
        <v>£10,001.00</v>
      </c>
    </row>
    <row r="6" spans="1:8" x14ac:dyDescent="0.25">
      <c r="A6">
        <v>5</v>
      </c>
      <c r="B6" t="s">
        <v>45</v>
      </c>
      <c r="C6" t="s">
        <v>10</v>
      </c>
      <c r="D6" t="s">
        <v>57</v>
      </c>
      <c r="E6">
        <f t="shared" si="0"/>
        <v>83</v>
      </c>
      <c r="F6" t="str">
        <f t="shared" si="1"/>
        <v>Sadik Pirjade</v>
      </c>
      <c r="G6">
        <f t="shared" ref="G6:G9" si="3">G5*10</f>
        <v>100010</v>
      </c>
      <c r="H6" t="str">
        <f t="shared" si="2"/>
        <v>£100,010.00</v>
      </c>
    </row>
    <row r="7" spans="1:8" x14ac:dyDescent="0.25">
      <c r="A7">
        <v>6</v>
      </c>
      <c r="B7" t="s">
        <v>44</v>
      </c>
      <c r="C7" t="s">
        <v>15</v>
      </c>
      <c r="D7" t="s">
        <v>54</v>
      </c>
      <c r="E7">
        <f t="shared" si="0"/>
        <v>77</v>
      </c>
      <c r="F7" t="str">
        <f t="shared" si="1"/>
        <v>Madiha Shaikh</v>
      </c>
      <c r="G7">
        <f t="shared" si="3"/>
        <v>1000100</v>
      </c>
      <c r="H7" t="str">
        <f t="shared" si="2"/>
        <v>£1,000,100.00</v>
      </c>
    </row>
    <row r="8" spans="1:8" x14ac:dyDescent="0.25">
      <c r="A8">
        <v>7</v>
      </c>
      <c r="B8" t="s">
        <v>46</v>
      </c>
      <c r="C8" t="s">
        <v>9</v>
      </c>
      <c r="D8" t="s">
        <v>54</v>
      </c>
      <c r="E8">
        <f t="shared" si="0"/>
        <v>71</v>
      </c>
      <c r="F8" t="str">
        <f t="shared" si="1"/>
        <v>Gufran Shaikh</v>
      </c>
      <c r="G8">
        <v>10002</v>
      </c>
      <c r="H8" t="str">
        <f t="shared" si="2"/>
        <v>£10,002.00</v>
      </c>
    </row>
    <row r="9" spans="1:8" x14ac:dyDescent="0.25">
      <c r="A9">
        <v>8</v>
      </c>
      <c r="B9" t="s">
        <v>47</v>
      </c>
      <c r="C9" t="s">
        <v>8</v>
      </c>
      <c r="D9" t="s">
        <v>58</v>
      </c>
      <c r="E9">
        <f t="shared" si="0"/>
        <v>78</v>
      </c>
      <c r="F9" t="str">
        <f t="shared" si="1"/>
        <v>Nihal Satkhed</v>
      </c>
      <c r="G9">
        <f t="shared" ref="G9" si="4">G8*10</f>
        <v>100020</v>
      </c>
      <c r="H9" t="str">
        <f t="shared" si="2"/>
        <v>£100,020.00</v>
      </c>
    </row>
    <row r="11" spans="1:8" x14ac:dyDescent="0.25">
      <c r="D11" t="b">
        <f>EXACT(C2,"miran")</f>
        <v>0</v>
      </c>
      <c r="F11">
        <f>FIND("Miran",F2)</f>
        <v>1</v>
      </c>
    </row>
    <row r="12" spans="1:8" x14ac:dyDescent="0.25">
      <c r="F12">
        <f>FIND("MH",B3,17)</f>
        <v>26</v>
      </c>
    </row>
    <row r="13" spans="1:8" x14ac:dyDescent="0.25">
      <c r="F13" t="str">
        <f>LEFT(C2,2)</f>
        <v>Mi</v>
      </c>
    </row>
    <row r="14" spans="1:8" x14ac:dyDescent="0.25">
      <c r="F14" t="str">
        <f>LEFT(C3,2)</f>
        <v>Ta</v>
      </c>
    </row>
    <row r="15" spans="1:8" x14ac:dyDescent="0.25">
      <c r="F15" t="str">
        <f t="shared" ref="F15:F20" si="5">LEFT(C4,2)</f>
        <v>Ah</v>
      </c>
    </row>
    <row r="16" spans="1:8" x14ac:dyDescent="0.25">
      <c r="F16" t="str">
        <f t="shared" si="5"/>
        <v>Fa</v>
      </c>
    </row>
    <row r="17" spans="6:6" x14ac:dyDescent="0.25">
      <c r="F17" t="str">
        <f t="shared" si="5"/>
        <v>Sa</v>
      </c>
    </row>
    <row r="18" spans="6:6" x14ac:dyDescent="0.25">
      <c r="F18" t="str">
        <f t="shared" si="5"/>
        <v>Ma</v>
      </c>
    </row>
    <row r="19" spans="6:6" x14ac:dyDescent="0.25">
      <c r="F19" t="str">
        <f t="shared" si="5"/>
        <v>Gu</v>
      </c>
    </row>
    <row r="20" spans="6:6" x14ac:dyDescent="0.25">
      <c r="F20" t="str">
        <f t="shared" si="5"/>
        <v>Ni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2026-02-11T14:51:39Z</dcterms:created>
  <dcterms:modified xsi:type="dcterms:W3CDTF">2026-02-12T15:33:46Z</dcterms:modified>
</cp:coreProperties>
</file>