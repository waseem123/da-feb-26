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10" i="2" l="1"/>
  <c r="G9" i="2"/>
  <c r="G8" i="2"/>
  <c r="G6" i="2"/>
  <c r="G5" i="2"/>
  <c r="G4" i="2"/>
  <c r="G3" i="2"/>
  <c r="G2" i="2"/>
  <c r="G9" i="1" l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<sst xmlns="http://schemas.openxmlformats.org/spreadsheetml/2006/main" count="62" uniqueCount="44">
  <si>
    <t>Sr NO</t>
  </si>
  <si>
    <t>Name</t>
  </si>
  <si>
    <t>DOB</t>
  </si>
  <si>
    <t>Time</t>
  </si>
  <si>
    <t>Faiz</t>
  </si>
  <si>
    <t>Sadik</t>
  </si>
  <si>
    <t>Ahmed</t>
  </si>
  <si>
    <t>Tanzila</t>
  </si>
  <si>
    <t>Madiha</t>
  </si>
  <si>
    <t>Onkar</t>
  </si>
  <si>
    <t>Nihal</t>
  </si>
  <si>
    <t>Gufran</t>
  </si>
  <si>
    <t>Function Name</t>
  </si>
  <si>
    <t>Output</t>
  </si>
  <si>
    <t>DATE</t>
  </si>
  <si>
    <t>year,month,day</t>
  </si>
  <si>
    <t>Required Parameters</t>
  </si>
  <si>
    <t>Returns date 
From given number</t>
  </si>
  <si>
    <t>Explanation</t>
  </si>
  <si>
    <t>DATEVALUE</t>
  </si>
  <si>
    <t>Date in text format</t>
  </si>
  <si>
    <t>Returns no. of days 
since 1900/01/01</t>
  </si>
  <si>
    <t>DAY</t>
  </si>
  <si>
    <t>DAYS360</t>
  </si>
  <si>
    <t>start date, end date
in yyyy-dd-mm format</t>
  </si>
  <si>
    <t>MONTH</t>
  </si>
  <si>
    <t>YEAR</t>
  </si>
  <si>
    <t>TODAY</t>
  </si>
  <si>
    <t>HOUR</t>
  </si>
  <si>
    <t>MINUTE</t>
  </si>
  <si>
    <t>SECOND</t>
  </si>
  <si>
    <t>hh, mm, ss</t>
  </si>
  <si>
    <t>time</t>
  </si>
  <si>
    <t>Timevalue</t>
  </si>
  <si>
    <r>
      <t xml:space="preserve">Returns </t>
    </r>
    <r>
      <rPr>
        <b/>
        <sz val="11"/>
        <color theme="1"/>
        <rFont val="Calibri"/>
        <family val="2"/>
        <scheme val="minor"/>
      </rPr>
      <t>Hours</t>
    </r>
  </si>
  <si>
    <r>
      <t xml:space="preserve">Returns </t>
    </r>
    <r>
      <rPr>
        <b/>
        <sz val="11"/>
        <color theme="1"/>
        <rFont val="Calibri"/>
        <family val="2"/>
        <scheme val="minor"/>
      </rPr>
      <t>Minutes</t>
    </r>
  </si>
  <si>
    <r>
      <t xml:space="preserve">Returns </t>
    </r>
    <r>
      <rPr>
        <b/>
        <sz val="11"/>
        <color theme="1"/>
        <rFont val="Calibri"/>
        <family val="2"/>
        <scheme val="minor"/>
      </rPr>
      <t>Seconds</t>
    </r>
  </si>
  <si>
    <r>
      <t xml:space="preserve">Returns </t>
    </r>
    <r>
      <rPr>
        <b/>
        <sz val="11"/>
        <color theme="1"/>
        <rFont val="Calibri"/>
        <family val="2"/>
        <scheme val="minor"/>
      </rPr>
      <t>Excel Time format</t>
    </r>
  </si>
  <si>
    <r>
      <t xml:space="preserve">Returns </t>
    </r>
    <r>
      <rPr>
        <b/>
        <sz val="11"/>
        <color theme="1"/>
        <rFont val="Calibri"/>
        <family val="2"/>
        <scheme val="minor"/>
      </rPr>
      <t>Excel based time value</t>
    </r>
  </si>
  <si>
    <r>
      <t xml:space="preserve">Returns </t>
    </r>
    <r>
      <rPr>
        <b/>
        <sz val="11"/>
        <color theme="1"/>
        <rFont val="Calibri"/>
        <family val="2"/>
        <scheme val="minor"/>
      </rPr>
      <t>current date</t>
    </r>
    <r>
      <rPr>
        <sz val="11"/>
        <color theme="1"/>
        <rFont val="Calibri"/>
        <family val="2"/>
        <scheme val="minor"/>
      </rPr>
      <t xml:space="preserve"> in 
</t>
    </r>
    <r>
      <rPr>
        <b/>
        <sz val="11"/>
        <color theme="1"/>
        <rFont val="Calibri"/>
        <family val="2"/>
        <scheme val="minor"/>
      </rPr>
      <t xml:space="preserve">dd:mm:yyyy </t>
    </r>
    <r>
      <rPr>
        <sz val="11"/>
        <color theme="1"/>
        <rFont val="Calibri"/>
        <family val="2"/>
        <scheme val="minor"/>
      </rPr>
      <t>format</t>
    </r>
  </si>
  <si>
    <t>WEEKDAY</t>
  </si>
  <si>
    <t>Returns the number representing 
a day of the week (Sunday =1 ,….)</t>
  </si>
  <si>
    <t>WEEKNUM</t>
  </si>
  <si>
    <t>WORKDAY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</si>
</sst>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[$-409]h:mm:ss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14" fontId="0" fillId="0" borderId="1" xfId="0" applyNumberFormat="1" applyBorder="1" applyAlignment="1">
      <alignment horizontal="left"/>
    </xf>
    <xf numFmtId="2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171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8" fontId="0" fillId="0" borderId="1" xfId="0" applyNumberForma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opLeftCell="A5" zoomScale="175" zoomScaleNormal="175" workbookViewId="0">
      <selection activeCell="G3" sqref="G3"/>
    </sheetView>
  </sheetViews>
  <sheetFormatPr defaultRowHeight="15" x14ac:dyDescent="0.25"/>
  <cols>
    <col min="3" max="3" width="11.140625" bestFit="1" customWidth="1"/>
    <col min="4" max="4" width="14.5703125" bestFit="1" customWidth="1"/>
    <col min="5" max="5" width="20" bestFit="1" customWidth="1"/>
    <col min="6" max="6" width="16" bestFit="1" customWidth="1"/>
    <col min="7" max="7" width="16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4" t="s">
        <v>12</v>
      </c>
      <c r="E1" s="4" t="s">
        <v>16</v>
      </c>
      <c r="F1" s="4" t="s">
        <v>18</v>
      </c>
      <c r="G1" s="4" t="s">
        <v>13</v>
      </c>
    </row>
    <row r="2" spans="1:7" ht="45" x14ac:dyDescent="0.25">
      <c r="A2" s="2">
        <v>1</v>
      </c>
      <c r="B2" s="2" t="s">
        <v>4</v>
      </c>
      <c r="C2" s="3">
        <v>38385</v>
      </c>
      <c r="D2" s="5" t="s">
        <v>14</v>
      </c>
      <c r="E2" s="5" t="s">
        <v>15</v>
      </c>
      <c r="F2" s="6" t="s">
        <v>17</v>
      </c>
      <c r="G2" s="7">
        <f>DATE(2005,12,2)</f>
        <v>38688</v>
      </c>
    </row>
    <row r="3" spans="1:7" ht="45" x14ac:dyDescent="0.25">
      <c r="A3" s="2">
        <v>2</v>
      </c>
      <c r="B3" s="2" t="s">
        <v>5</v>
      </c>
      <c r="C3" s="3">
        <v>38192</v>
      </c>
      <c r="D3" s="5" t="s">
        <v>19</v>
      </c>
      <c r="E3" s="5" t="s">
        <v>20</v>
      </c>
      <c r="F3" s="6" t="s">
        <v>21</v>
      </c>
      <c r="G3" s="5">
        <f>DATEVALUE("01/01/1970")</f>
        <v>25569</v>
      </c>
    </row>
    <row r="4" spans="1:7" x14ac:dyDescent="0.25">
      <c r="A4" s="2">
        <v>3</v>
      </c>
      <c r="B4" s="2" t="s">
        <v>6</v>
      </c>
      <c r="C4" s="3">
        <v>37276</v>
      </c>
      <c r="D4" s="5" t="s">
        <v>22</v>
      </c>
      <c r="E4" s="5"/>
      <c r="F4" s="5"/>
      <c r="G4" s="5">
        <f>DAY(C4)</f>
        <v>20</v>
      </c>
    </row>
    <row r="5" spans="1:7" ht="45" x14ac:dyDescent="0.25">
      <c r="A5" s="2">
        <v>4</v>
      </c>
      <c r="B5" s="2" t="s">
        <v>7</v>
      </c>
      <c r="C5" s="3">
        <v>38494</v>
      </c>
      <c r="D5" s="5" t="s">
        <v>23</v>
      </c>
      <c r="E5" s="6" t="s">
        <v>24</v>
      </c>
      <c r="F5" s="5"/>
      <c r="G5" s="5">
        <f>DAYS360(C4,C5)</f>
        <v>1202</v>
      </c>
    </row>
    <row r="6" spans="1:7" x14ac:dyDescent="0.25">
      <c r="A6" s="2">
        <v>5</v>
      </c>
      <c r="B6" s="2" t="s">
        <v>8</v>
      </c>
      <c r="C6" s="3">
        <v>38352</v>
      </c>
      <c r="D6" s="5" t="s">
        <v>25</v>
      </c>
      <c r="E6" s="5"/>
      <c r="F6" s="5"/>
      <c r="G6" s="5">
        <f>MONTH(C6)</f>
        <v>12</v>
      </c>
    </row>
    <row r="7" spans="1:7" x14ac:dyDescent="0.25">
      <c r="A7" s="2">
        <v>6</v>
      </c>
      <c r="B7" s="2" t="s">
        <v>9</v>
      </c>
      <c r="C7" s="3">
        <v>37645</v>
      </c>
      <c r="D7" s="5" t="s">
        <v>26</v>
      </c>
      <c r="E7" s="5"/>
      <c r="F7" s="5"/>
      <c r="G7" s="5">
        <f>YEAR(C7)</f>
        <v>2003</v>
      </c>
    </row>
    <row r="8" spans="1:7" x14ac:dyDescent="0.25">
      <c r="A8" s="2">
        <v>7</v>
      </c>
      <c r="B8" s="2" t="s">
        <v>10</v>
      </c>
      <c r="C8" s="3">
        <v>38042</v>
      </c>
      <c r="D8" s="5" t="s">
        <v>27</v>
      </c>
      <c r="E8" s="5"/>
      <c r="F8" s="5"/>
      <c r="G8" s="7">
        <f ca="1">TODAY()</f>
        <v>46074</v>
      </c>
    </row>
    <row r="9" spans="1:7" x14ac:dyDescent="0.25">
      <c r="A9" s="2">
        <v>8</v>
      </c>
      <c r="B9" s="2" t="s">
        <v>11</v>
      </c>
      <c r="C9" s="3">
        <v>38437</v>
      </c>
      <c r="D9" s="5"/>
      <c r="E9" s="5"/>
      <c r="F9" s="5"/>
      <c r="G9" s="8">
        <f ca="1">NOW()</f>
        <v>46074.684008564815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zoomScale="160" zoomScaleNormal="160" workbookViewId="0">
      <selection activeCell="A12" sqref="A12"/>
    </sheetView>
  </sheetViews>
  <sheetFormatPr defaultRowHeight="15" x14ac:dyDescent="0.25"/>
  <cols>
    <col min="1" max="1" width="9.140625" style="11"/>
    <col min="2" max="2" width="7.5703125" style="11" bestFit="1" customWidth="1"/>
    <col min="3" max="3" width="16.28515625" style="11" customWidth="1"/>
    <col min="4" max="4" width="14.5703125" style="11" bestFit="1" customWidth="1"/>
    <col min="5" max="5" width="20" style="11" bestFit="1" customWidth="1"/>
    <col min="6" max="6" width="29" style="11" bestFit="1" customWidth="1"/>
    <col min="7" max="7" width="16.42578125" style="11" bestFit="1" customWidth="1"/>
    <col min="8" max="16384" width="9.140625" style="11"/>
  </cols>
  <sheetData>
    <row r="1" spans="1:7" x14ac:dyDescent="0.25">
      <c r="A1" s="9" t="s">
        <v>0</v>
      </c>
      <c r="B1" s="9" t="s">
        <v>1</v>
      </c>
      <c r="C1" s="9" t="s">
        <v>3</v>
      </c>
      <c r="D1" s="10" t="s">
        <v>12</v>
      </c>
      <c r="E1" s="10" t="s">
        <v>16</v>
      </c>
      <c r="F1" s="10" t="s">
        <v>18</v>
      </c>
      <c r="G1" s="10" t="s">
        <v>13</v>
      </c>
    </row>
    <row r="2" spans="1:7" x14ac:dyDescent="0.25">
      <c r="A2" s="12">
        <v>1</v>
      </c>
      <c r="B2" s="12" t="s">
        <v>4</v>
      </c>
      <c r="C2" s="13">
        <v>0.41666666666666669</v>
      </c>
      <c r="D2" s="12" t="s">
        <v>28</v>
      </c>
      <c r="E2" s="12" t="s">
        <v>32</v>
      </c>
      <c r="F2" s="12" t="s">
        <v>34</v>
      </c>
      <c r="G2" s="14">
        <f>HOUR(C5)</f>
        <v>13</v>
      </c>
    </row>
    <row r="3" spans="1:7" x14ac:dyDescent="0.25">
      <c r="A3" s="12">
        <v>2</v>
      </c>
      <c r="B3" s="12" t="s">
        <v>5</v>
      </c>
      <c r="C3" s="13">
        <v>0.51527777777777783</v>
      </c>
      <c r="D3" s="12" t="s">
        <v>29</v>
      </c>
      <c r="E3" s="12" t="s">
        <v>32</v>
      </c>
      <c r="F3" s="12" t="s">
        <v>35</v>
      </c>
      <c r="G3" s="14">
        <f>MINUTE(C3)</f>
        <v>22</v>
      </c>
    </row>
    <row r="4" spans="1:7" x14ac:dyDescent="0.25">
      <c r="A4" s="12">
        <v>3</v>
      </c>
      <c r="B4" s="12" t="s">
        <v>6</v>
      </c>
      <c r="C4" s="13">
        <v>0.13217592592592592</v>
      </c>
      <c r="D4" s="12" t="s">
        <v>30</v>
      </c>
      <c r="E4" s="12" t="s">
        <v>32</v>
      </c>
      <c r="F4" s="12" t="s">
        <v>36</v>
      </c>
      <c r="G4" s="12">
        <f>SECOND(C4)</f>
        <v>20</v>
      </c>
    </row>
    <row r="5" spans="1:7" x14ac:dyDescent="0.25">
      <c r="A5" s="12">
        <v>4</v>
      </c>
      <c r="B5" s="12" t="s">
        <v>7</v>
      </c>
      <c r="C5" s="13">
        <v>0.54166666666666663</v>
      </c>
      <c r="D5" s="12" t="s">
        <v>3</v>
      </c>
      <c r="E5" s="14" t="s">
        <v>31</v>
      </c>
      <c r="F5" s="12" t="s">
        <v>37</v>
      </c>
      <c r="G5" s="15">
        <f>TIME(G2,G3,G4)</f>
        <v>0.55717592592592591</v>
      </c>
    </row>
    <row r="6" spans="1:7" x14ac:dyDescent="0.25">
      <c r="A6" s="12">
        <v>5</v>
      </c>
      <c r="B6" s="12" t="s">
        <v>8</v>
      </c>
      <c r="C6" s="13">
        <v>0.12152777777777778</v>
      </c>
      <c r="D6" s="12" t="s">
        <v>33</v>
      </c>
      <c r="E6" s="12"/>
      <c r="F6" s="12" t="s">
        <v>38</v>
      </c>
      <c r="G6" s="12">
        <f>TIMEVALUE("20:00:00")</f>
        <v>0.83333333333333337</v>
      </c>
    </row>
    <row r="7" spans="1:7" ht="30" x14ac:dyDescent="0.25">
      <c r="A7" s="12">
        <v>6</v>
      </c>
      <c r="B7" s="12" t="s">
        <v>9</v>
      </c>
      <c r="C7" s="13">
        <v>0.25416666666666665</v>
      </c>
      <c r="D7" s="12" t="s">
        <v>27</v>
      </c>
      <c r="E7" s="12"/>
      <c r="F7" s="14" t="s">
        <v>39</v>
      </c>
      <c r="G7" s="16">
        <v>38099</v>
      </c>
    </row>
    <row r="8" spans="1:7" ht="60" x14ac:dyDescent="0.25">
      <c r="A8" s="12">
        <v>7</v>
      </c>
      <c r="B8" s="12" t="s">
        <v>10</v>
      </c>
      <c r="C8" s="13">
        <v>0.46597222222222223</v>
      </c>
      <c r="D8" s="12" t="s">
        <v>40</v>
      </c>
      <c r="E8" s="12"/>
      <c r="F8" s="14" t="s">
        <v>41</v>
      </c>
      <c r="G8" s="17">
        <f>WEEKDAY(G7)</f>
        <v>5</v>
      </c>
    </row>
    <row r="9" spans="1:7" x14ac:dyDescent="0.25">
      <c r="A9" s="12">
        <v>8</v>
      </c>
      <c r="B9" s="12" t="s">
        <v>11</v>
      </c>
      <c r="C9" s="13">
        <v>0.9291666666666667</v>
      </c>
      <c r="D9" s="12" t="s">
        <v>42</v>
      </c>
      <c r="E9" s="12"/>
      <c r="F9" s="12"/>
      <c r="G9" s="17">
        <f ca="1">WEEKNUM(TODAY())</f>
        <v>8</v>
      </c>
    </row>
    <row r="10" spans="1:7" x14ac:dyDescent="0.25">
      <c r="A10" s="12">
        <v>9</v>
      </c>
      <c r="B10" s="12"/>
      <c r="C10" s="12"/>
      <c r="D10" s="12" t="s">
        <v>43</v>
      </c>
      <c r="E10" s="12"/>
      <c r="F10" s="12"/>
      <c r="G10" s="12">
        <f>WORKDAY(22/1/2026,100,2)</f>
        <v>142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2026-02-19T01:45:45Z</dcterms:created>
  <dcterms:modified xsi:type="dcterms:W3CDTF">2026-02-21T10:59:44Z</dcterms:modified>
</cp:coreProperties>
</file>